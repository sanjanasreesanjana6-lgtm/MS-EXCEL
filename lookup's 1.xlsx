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177" documentId="11_E60897F41BE170836B02CE998F75CCDC64E183C8" xr6:coauthVersionLast="47" xr6:coauthVersionMax="47" xr10:uidLastSave="{678C3881-E771-4FF5-B483-893B562D745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I30" i="1"/>
  <c r="C30" i="1"/>
  <c r="D29" i="1"/>
  <c r="E29" i="1"/>
  <c r="F29" i="1"/>
  <c r="G29" i="1"/>
  <c r="H29" i="1"/>
  <c r="I29" i="1"/>
  <c r="C29" i="1"/>
  <c r="D28" i="1"/>
  <c r="E28" i="1"/>
  <c r="F28" i="1"/>
  <c r="G28" i="1"/>
  <c r="H28" i="1"/>
  <c r="I28" i="1"/>
  <c r="C28" i="1"/>
  <c r="D7" i="1"/>
  <c r="E7" i="1"/>
  <c r="D8" i="1"/>
  <c r="E8" i="1"/>
  <c r="D9" i="1"/>
  <c r="E9" i="1"/>
  <c r="D10" i="1"/>
  <c r="E10" i="1"/>
  <c r="D11" i="1"/>
  <c r="E11" i="1"/>
  <c r="E6" i="1"/>
  <c r="D6" i="1"/>
  <c r="M17" i="1"/>
  <c r="M18" i="1"/>
  <c r="M19" i="1"/>
  <c r="M20" i="1"/>
  <c r="M21" i="1"/>
  <c r="M16" i="1"/>
  <c r="D17" i="1"/>
  <c r="D18" i="1"/>
  <c r="D19" i="1"/>
  <c r="D20" i="1"/>
  <c r="D21" i="1"/>
  <c r="D16" i="1"/>
</calcChain>
</file>

<file path=xl/sharedStrings.xml><?xml version="1.0" encoding="utf-8"?>
<sst xmlns="http://schemas.openxmlformats.org/spreadsheetml/2006/main" count="56" uniqueCount="22">
  <si>
    <t>quantity</t>
  </si>
  <si>
    <t>vehicle</t>
  </si>
  <si>
    <t>cost</t>
  </si>
  <si>
    <t>car</t>
  </si>
  <si>
    <t>1500$</t>
  </si>
  <si>
    <t>bike</t>
  </si>
  <si>
    <t>250$</t>
  </si>
  <si>
    <t>plane</t>
  </si>
  <si>
    <t>50000$</t>
  </si>
  <si>
    <t>vehicles</t>
  </si>
  <si>
    <t>km</t>
  </si>
  <si>
    <t>Quanlity</t>
  </si>
  <si>
    <t>------&gt;&gt;&gt;</t>
  </si>
  <si>
    <t>values</t>
  </si>
  <si>
    <t>cruiser</t>
  </si>
  <si>
    <t>Cost</t>
  </si>
  <si>
    <t>speed</t>
  </si>
  <si>
    <t>70km</t>
  </si>
  <si>
    <t>50km</t>
  </si>
  <si>
    <t>8900km</t>
  </si>
  <si>
    <t>7865km</t>
  </si>
  <si>
    <t xml:space="preserve">sanjana's portfolio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</si>
</sst>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3" borderId="7" xfId="0" applyFill="1" applyBorder="1"/>
    <xf numFmtId="0" fontId="0" fillId="0" borderId="9" xfId="0" applyBorder="1"/>
    <xf numFmtId="0" fontId="0" fillId="2" borderId="10" xfId="0" applyFill="1" applyBorder="1"/>
    <xf numFmtId="0" fontId="0" fillId="4" borderId="5" xfId="0" applyFill="1" applyBorder="1"/>
    <xf numFmtId="0" fontId="0" fillId="5" borderId="11" xfId="0" applyFill="1" applyBorder="1"/>
    <xf numFmtId="0" fontId="0" fillId="5" borderId="12" xfId="0" applyFill="1" applyBorder="1"/>
    <xf numFmtId="0" fontId="0" fillId="6" borderId="6" xfId="0" applyFill="1" applyBorder="1"/>
    <xf numFmtId="0" fontId="0" fillId="6" borderId="9" xfId="0" applyFill="1" applyBorder="1"/>
    <xf numFmtId="0" fontId="0" fillId="6" borderId="5" xfId="0" applyFill="1" applyBorder="1"/>
    <xf numFmtId="0" fontId="0" fillId="6" borderId="8" xfId="0" applyFill="1" applyBorder="1"/>
    <xf numFmtId="0" fontId="0" fillId="5" borderId="4" xfId="0" applyFill="1" applyBorder="1"/>
    <xf numFmtId="0" fontId="1" fillId="0" borderId="0" xfId="1"/>
    <xf numFmtId="0" fontId="0" fillId="0" borderId="5" xfId="0" applyBorder="1" applyAlignment="1">
      <alignment horizontal="center"/>
    </xf>
    <xf numFmtId="0" fontId="0" fillId="7" borderId="5" xfId="0" applyFill="1" applyBorder="1"/>
    <xf numFmtId="0" fontId="0" fillId="0" borderId="0" xfId="0" applyBorder="1" applyAlignment="1">
      <alignment horizontal="center"/>
    </xf>
    <xf numFmtId="6" fontId="0" fillId="0" borderId="0" xfId="0" applyNumberFormat="1" applyBorder="1" applyAlignment="1">
      <alignment horizontal="center"/>
    </xf>
    <xf numFmtId="0" fontId="0" fillId="7" borderId="14" xfId="0" applyFill="1" applyBorder="1"/>
    <xf numFmtId="6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6" fontId="0" fillId="0" borderId="15" xfId="0" applyNumberFormat="1" applyBorder="1" applyAlignment="1">
      <alignment horizontal="center"/>
    </xf>
    <xf numFmtId="0" fontId="0" fillId="7" borderId="17" xfId="0" applyFill="1" applyBorder="1"/>
    <xf numFmtId="0" fontId="0" fillId="5" borderId="5" xfId="0" applyFill="1" applyBorder="1" applyAlignment="1">
      <alignment horizontal="center"/>
    </xf>
    <xf numFmtId="0" fontId="0" fillId="0" borderId="16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10</xdr:row>
      <xdr:rowOff>28575</xdr:rowOff>
    </xdr:from>
    <xdr:to>
      <xdr:col>16</xdr:col>
      <xdr:colOff>247650</xdr:colOff>
      <xdr:row>12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96DE02-A4BD-E4C3-0BD8-BA06CE3A9EA3}"/>
            </a:ext>
          </a:extLst>
        </xdr:cNvPr>
        <xdr:cNvSpPr txBox="1"/>
      </xdr:nvSpPr>
      <xdr:spPr>
        <a:xfrm>
          <a:off x="7648575" y="1552575"/>
          <a:ext cx="2352675" cy="419100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>
              <a:latin typeface="+mn-lt"/>
              <a:ea typeface="+mn-lt"/>
              <a:cs typeface="+mn-lt"/>
            </a:rPr>
            <a:t>Drawback of VLOOKUP</a:t>
          </a:r>
        </a:p>
        <a:p>
          <a:pPr marL="0" indent="0" algn="l"/>
          <a:r>
            <a:rPr lang="en-US" sz="1400" b="1" i="0">
              <a:latin typeface="+mn-lt"/>
              <a:ea typeface="+mn-lt"/>
              <a:cs typeface="+mn-lt"/>
            </a:rPr>
            <a:t> </a:t>
          </a:r>
        </a:p>
      </xdr:txBody>
    </xdr:sp>
    <xdr:clientData/>
  </xdr:twoCellAnchor>
  <xdr:twoCellAnchor>
    <xdr:from>
      <xdr:col>2</xdr:col>
      <xdr:colOff>400050</xdr:colOff>
      <xdr:row>0</xdr:row>
      <xdr:rowOff>180975</xdr:rowOff>
    </xdr:from>
    <xdr:to>
      <xdr:col>6</xdr:col>
      <xdr:colOff>152400</xdr:colOff>
      <xdr:row>2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343675-C655-C4BB-573B-C84C0AFA31E0}"/>
            </a:ext>
            <a:ext uri="{147F2762-F138-4A5C-976F-8EAC2B608ADB}">
              <a16:predDERef xmlns:a16="http://schemas.microsoft.com/office/drawing/2014/main" pred="{5096DE02-A4BD-E4C3-0BD8-BA06CE3A9EA3}"/>
            </a:ext>
          </a:extLst>
        </xdr:cNvPr>
        <xdr:cNvSpPr txBox="1"/>
      </xdr:nvSpPr>
      <xdr:spPr>
        <a:xfrm>
          <a:off x="1619250" y="180975"/>
          <a:ext cx="2190750" cy="342900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    VLOOKUP</a:t>
          </a:r>
        </a:p>
      </xdr:txBody>
    </xdr:sp>
    <xdr:clientData/>
  </xdr:twoCellAnchor>
  <xdr:twoCellAnchor>
    <xdr:from>
      <xdr:col>2</xdr:col>
      <xdr:colOff>276225</xdr:colOff>
      <xdr:row>22</xdr:row>
      <xdr:rowOff>38100</xdr:rowOff>
    </xdr:from>
    <xdr:to>
      <xdr:col>5</xdr:col>
      <xdr:colOff>504825</xdr:colOff>
      <xdr:row>24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44E288-1C00-9097-4D24-C611894E64D7}"/>
            </a:ext>
            <a:ext uri="{147F2762-F138-4A5C-976F-8EAC2B608ADB}">
              <a16:predDERef xmlns:a16="http://schemas.microsoft.com/office/drawing/2014/main" pred="{BD343675-C655-C4BB-573B-C84C0AFA31E0}"/>
            </a:ext>
          </a:extLst>
        </xdr:cNvPr>
        <xdr:cNvSpPr txBox="1"/>
      </xdr:nvSpPr>
      <xdr:spPr>
        <a:xfrm>
          <a:off x="1495425" y="4229100"/>
          <a:ext cx="2057400" cy="419100"/>
        </a:xfrm>
        <a:prstGeom prst="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                   HLOOKUP</a:t>
          </a:r>
        </a:p>
        <a:p>
          <a:pPr marL="0" indent="0" algn="l"/>
          <a:endParaRPr lang="en-US" sz="1100" b="1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olt.new/p/69349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44"/>
  <sheetViews>
    <sheetView tabSelected="1" topLeftCell="A19" workbookViewId="0">
      <selection activeCell="K29" sqref="K29"/>
    </sheetView>
  </sheetViews>
  <sheetFormatPr defaultRowHeight="15"/>
  <cols>
    <col min="10" max="10" width="17.85546875" customWidth="1"/>
  </cols>
  <sheetData>
    <row r="4" spans="3:18">
      <c r="G4">
        <v>1</v>
      </c>
      <c r="H4">
        <v>2</v>
      </c>
      <c r="I4">
        <v>3</v>
      </c>
    </row>
    <row r="5" spans="3:18">
      <c r="C5" s="2" t="s">
        <v>0</v>
      </c>
      <c r="D5" s="9" t="s">
        <v>1</v>
      </c>
      <c r="E5" s="10" t="s">
        <v>2</v>
      </c>
      <c r="G5" s="3" t="s">
        <v>0</v>
      </c>
      <c r="H5" s="9" t="s">
        <v>1</v>
      </c>
      <c r="I5" s="10" t="s">
        <v>2</v>
      </c>
    </row>
    <row r="6" spans="3:18">
      <c r="C6" s="15">
        <v>23</v>
      </c>
      <c r="D6" s="11" t="str">
        <f>VLOOKUP($C6,$G$6:$I$8,H$4,FALSE)</f>
        <v>bike</v>
      </c>
      <c r="E6" s="17" t="str">
        <f>VLOOKUP($C6,$G$6:$I$8,I$4,FALSE)</f>
        <v>250$</v>
      </c>
      <c r="G6" s="13">
        <v>40</v>
      </c>
      <c r="H6" s="11" t="s">
        <v>3</v>
      </c>
      <c r="I6" s="5" t="s">
        <v>4</v>
      </c>
    </row>
    <row r="7" spans="3:18">
      <c r="C7" s="15">
        <v>40</v>
      </c>
      <c r="D7" s="11" t="str">
        <f>VLOOKUP($C7,$G$6:$I$8,H$4,FALSE)</f>
        <v>car</v>
      </c>
      <c r="E7" s="17" t="str">
        <f t="shared" ref="E7:E11" si="0">VLOOKUP($C7,$G$6:$I$8,I$4,FALSE)</f>
        <v>1500$</v>
      </c>
      <c r="G7" s="13">
        <v>23</v>
      </c>
      <c r="H7" s="11" t="s">
        <v>5</v>
      </c>
      <c r="I7" s="5" t="s">
        <v>6</v>
      </c>
    </row>
    <row r="8" spans="3:18">
      <c r="C8" s="15">
        <v>23</v>
      </c>
      <c r="D8" s="11" t="str">
        <f>VLOOKUP($C8,$G$6:$I$8,H$4,FALSE)</f>
        <v>bike</v>
      </c>
      <c r="E8" s="17" t="str">
        <f t="shared" si="0"/>
        <v>250$</v>
      </c>
      <c r="G8" s="14">
        <v>56</v>
      </c>
      <c r="H8" s="12" t="s">
        <v>7</v>
      </c>
      <c r="I8" s="5" t="s">
        <v>8</v>
      </c>
    </row>
    <row r="9" spans="3:18">
      <c r="C9" s="15">
        <v>56</v>
      </c>
      <c r="D9" s="11" t="str">
        <f>VLOOKUP($C9,$G$6:$I$8,H$4,FALSE)</f>
        <v>plane</v>
      </c>
      <c r="E9" s="17" t="str">
        <f t="shared" si="0"/>
        <v>50000$</v>
      </c>
    </row>
    <row r="10" spans="3:18">
      <c r="C10" s="15">
        <v>23</v>
      </c>
      <c r="D10" s="11" t="str">
        <f>VLOOKUP($C10,$G$6:$I$8,H$4,FALSE)</f>
        <v>bike</v>
      </c>
      <c r="E10" s="17" t="str">
        <f t="shared" si="0"/>
        <v>250$</v>
      </c>
    </row>
    <row r="11" spans="3:18">
      <c r="C11" s="16">
        <v>56</v>
      </c>
      <c r="D11" s="11" t="str">
        <f>VLOOKUP($C11,$G$6:$I$8,H$4,FALSE)</f>
        <v>plane</v>
      </c>
      <c r="E11" s="17" t="str">
        <f t="shared" si="0"/>
        <v>50000$</v>
      </c>
    </row>
    <row r="15" spans="3:18">
      <c r="C15" s="1" t="s">
        <v>9</v>
      </c>
      <c r="D15" s="2" t="s">
        <v>10</v>
      </c>
      <c r="G15" s="1" t="s">
        <v>9</v>
      </c>
      <c r="H15" s="3" t="s">
        <v>10</v>
      </c>
      <c r="L15" s="1" t="s">
        <v>9</v>
      </c>
      <c r="M15" s="2" t="s">
        <v>10</v>
      </c>
      <c r="Q15" s="3" t="s">
        <v>10</v>
      </c>
      <c r="R15" s="1" t="s">
        <v>9</v>
      </c>
    </row>
    <row r="16" spans="3:18">
      <c r="C16" s="4" t="s">
        <v>7</v>
      </c>
      <c r="D16" s="5">
        <f>VLOOKUP(C16,G$16:H$18,2,FALSE)</f>
        <v>56</v>
      </c>
      <c r="G16" s="4" t="s">
        <v>3</v>
      </c>
      <c r="H16" s="6">
        <v>40</v>
      </c>
      <c r="L16" s="4" t="s">
        <v>7</v>
      </c>
      <c r="M16" s="5" t="e">
        <f>VLOOKUP(L16,Q$16:R$18,1,FALSE)</f>
        <v>#N/A</v>
      </c>
      <c r="Q16" s="6">
        <v>40</v>
      </c>
      <c r="R16" s="4" t="s">
        <v>3</v>
      </c>
    </row>
    <row r="17" spans="2:18">
      <c r="C17" s="4" t="s">
        <v>3</v>
      </c>
      <c r="D17" s="5">
        <f>VLOOKUP(C17,G$16:H$18,2,FALSE)</f>
        <v>40</v>
      </c>
      <c r="G17" s="4" t="s">
        <v>5</v>
      </c>
      <c r="H17" s="6">
        <v>23</v>
      </c>
      <c r="L17" s="4" t="s">
        <v>3</v>
      </c>
      <c r="M17" s="5" t="e">
        <f t="shared" ref="M17:M21" si="1">VLOOKUP(L17,Q$16:R$18,1,FALSE)</f>
        <v>#N/A</v>
      </c>
      <c r="Q17" s="6">
        <v>23</v>
      </c>
      <c r="R17" s="4" t="s">
        <v>5</v>
      </c>
    </row>
    <row r="18" spans="2:18">
      <c r="C18" s="4" t="s">
        <v>5</v>
      </c>
      <c r="D18" s="5">
        <f>VLOOKUP(C18,G$16:H$18,2,FALSE)</f>
        <v>23</v>
      </c>
      <c r="G18" s="7" t="s">
        <v>7</v>
      </c>
      <c r="H18" s="8">
        <v>56</v>
      </c>
      <c r="L18" s="4" t="s">
        <v>5</v>
      </c>
      <c r="M18" s="5" t="e">
        <f t="shared" si="1"/>
        <v>#N/A</v>
      </c>
      <c r="Q18" s="8">
        <v>56</v>
      </c>
      <c r="R18" s="7" t="s">
        <v>7</v>
      </c>
    </row>
    <row r="19" spans="2:18">
      <c r="C19" s="4" t="s">
        <v>5</v>
      </c>
      <c r="D19" s="5">
        <f>VLOOKUP(C19,G$16:H$18,2,FALSE)</f>
        <v>23</v>
      </c>
      <c r="L19" s="4" t="s">
        <v>5</v>
      </c>
      <c r="M19" s="5" t="e">
        <f t="shared" si="1"/>
        <v>#N/A</v>
      </c>
    </row>
    <row r="20" spans="2:18">
      <c r="C20" s="4" t="s">
        <v>3</v>
      </c>
      <c r="D20" s="5">
        <f>VLOOKUP(C20,G$16:H$18,2,FALSE)</f>
        <v>40</v>
      </c>
      <c r="L20" s="4" t="s">
        <v>3</v>
      </c>
      <c r="M20" s="5" t="e">
        <f t="shared" si="1"/>
        <v>#N/A</v>
      </c>
    </row>
    <row r="21" spans="2:18">
      <c r="C21" s="7" t="s">
        <v>7</v>
      </c>
      <c r="D21" s="5">
        <f>VLOOKUP(C21,G$16:H$18,2,FALSE)</f>
        <v>56</v>
      </c>
      <c r="L21" s="7" t="s">
        <v>7</v>
      </c>
      <c r="M21" s="5" t="e">
        <f t="shared" si="1"/>
        <v>#N/A</v>
      </c>
    </row>
    <row r="27" spans="2:18">
      <c r="B27" s="23" t="s">
        <v>11</v>
      </c>
      <c r="C27" s="19">
        <v>55</v>
      </c>
      <c r="D27" s="19">
        <v>78</v>
      </c>
      <c r="E27" s="19">
        <v>99</v>
      </c>
      <c r="F27" s="19">
        <v>55</v>
      </c>
      <c r="G27" s="19">
        <v>99</v>
      </c>
      <c r="H27" s="28">
        <v>40</v>
      </c>
      <c r="I27" s="19">
        <v>78</v>
      </c>
      <c r="J27" s="21" t="s">
        <v>12</v>
      </c>
      <c r="K27" s="21"/>
      <c r="L27" s="21"/>
      <c r="M27" s="20" t="s">
        <v>11</v>
      </c>
      <c r="N27" s="25">
        <v>40</v>
      </c>
      <c r="O27" s="19">
        <v>55</v>
      </c>
      <c r="P27" s="19">
        <v>78</v>
      </c>
      <c r="Q27" s="19">
        <v>99</v>
      </c>
    </row>
    <row r="28" spans="2:18">
      <c r="B28" s="23" t="s">
        <v>13</v>
      </c>
      <c r="C28" s="19" t="str">
        <f>HLOOKUP(C27,$N27:$Q30,2,FALSE)</f>
        <v>bike</v>
      </c>
      <c r="D28" s="19" t="str">
        <f t="shared" ref="D28:I28" si="2">HLOOKUP(D27,$N27:$Q30,2,FALSE)</f>
        <v>plane</v>
      </c>
      <c r="E28" s="19" t="str">
        <f t="shared" si="2"/>
        <v>cruiser</v>
      </c>
      <c r="F28" s="19" t="str">
        <f t="shared" si="2"/>
        <v>bike</v>
      </c>
      <c r="G28" s="19" t="str">
        <f t="shared" si="2"/>
        <v>cruiser</v>
      </c>
      <c r="H28" s="19" t="str">
        <f t="shared" si="2"/>
        <v>car</v>
      </c>
      <c r="I28" s="19" t="str">
        <f t="shared" si="2"/>
        <v>plane</v>
      </c>
      <c r="J28" s="21"/>
      <c r="K28" s="21"/>
      <c r="L28" s="21"/>
      <c r="M28" s="20" t="s">
        <v>13</v>
      </c>
      <c r="N28" s="25" t="s">
        <v>3</v>
      </c>
      <c r="O28" s="19" t="s">
        <v>5</v>
      </c>
      <c r="P28" s="19" t="s">
        <v>7</v>
      </c>
      <c r="Q28" s="19" t="s">
        <v>14</v>
      </c>
    </row>
    <row r="29" spans="2:18">
      <c r="B29" s="27" t="s">
        <v>15</v>
      </c>
      <c r="C29" s="29">
        <f>HLOOKUP(C27,$N$27:$Q$30,3,FALSE)</f>
        <v>43</v>
      </c>
      <c r="D29" s="29">
        <f t="shared" ref="D29:I29" si="3">HLOOKUP(D27,$N$27:$Q$30,3,FALSE)</f>
        <v>897</v>
      </c>
      <c r="E29" s="29">
        <f t="shared" si="3"/>
        <v>998</v>
      </c>
      <c r="F29" s="29">
        <f t="shared" si="3"/>
        <v>43</v>
      </c>
      <c r="G29" s="29">
        <f t="shared" si="3"/>
        <v>998</v>
      </c>
      <c r="H29" s="29">
        <f t="shared" si="3"/>
        <v>457</v>
      </c>
      <c r="I29" s="29">
        <f t="shared" si="3"/>
        <v>897</v>
      </c>
      <c r="J29" s="22"/>
      <c r="K29" s="22"/>
      <c r="L29" s="22"/>
      <c r="M29" s="20" t="s">
        <v>15</v>
      </c>
      <c r="N29" s="26">
        <v>457</v>
      </c>
      <c r="O29" s="24">
        <v>43</v>
      </c>
      <c r="P29" s="24">
        <v>897</v>
      </c>
      <c r="Q29" s="24">
        <v>998</v>
      </c>
    </row>
    <row r="30" spans="2:18">
      <c r="B30" s="20" t="s">
        <v>16</v>
      </c>
      <c r="C30" s="19" t="str">
        <f>HLOOKUP(C27,$N$27:$Q$30,4,FALSE)</f>
        <v>50km</v>
      </c>
      <c r="D30" s="19" t="str">
        <f t="shared" ref="D30:I30" si="4">HLOOKUP(D27,$N$27:$Q$30,4,FALSE)</f>
        <v>8900km</v>
      </c>
      <c r="E30" s="19" t="str">
        <f t="shared" si="4"/>
        <v>7865km</v>
      </c>
      <c r="F30" s="19" t="str">
        <f t="shared" si="4"/>
        <v>50km</v>
      </c>
      <c r="G30" s="19" t="str">
        <f t="shared" si="4"/>
        <v>7865km</v>
      </c>
      <c r="H30" s="19" t="str">
        <f t="shared" si="4"/>
        <v>70km</v>
      </c>
      <c r="I30" s="19" t="str">
        <f t="shared" si="4"/>
        <v>8900km</v>
      </c>
      <c r="M30" s="20" t="s">
        <v>16</v>
      </c>
      <c r="N30" s="25" t="s">
        <v>17</v>
      </c>
      <c r="O30" s="19" t="s">
        <v>18</v>
      </c>
      <c r="P30" s="19" t="s">
        <v>19</v>
      </c>
      <c r="Q30" s="19" t="s">
        <v>20</v>
      </c>
    </row>
    <row r="44" spans="10:10">
      <c r="J44" s="18" t="s">
        <v>21</v>
      </c>
    </row>
  </sheetData>
  <hyperlinks>
    <hyperlink ref="J44" r:id="rId1" xr:uid="{B4D8B5FF-82E8-41F2-B8DF-EC9528819DE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2026-07-24T05:19:54Z</dcterms:created>
  <dcterms:modified xsi:type="dcterms:W3CDTF">2026-07-28T18:28:09Z</dcterms:modified>
  <cp:category/>
  <cp:contentStatus/>
</cp:coreProperties>
</file>